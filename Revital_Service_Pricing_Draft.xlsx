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e Sheet" sheetId="1" state="visible" r:id="rId3"/>
    <sheet name="Category Summary" sheetId="2" state="visible" r:id="rId4"/>
    <sheet name="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<sst xmlns="http://schemas.openxmlformats.org/spreadsheetml/2006/main" count="335" uniqueCount="142">
  <si>
    <t xml:space="preserve">Draft starting prices, researched from small-business/local-agency market benchmarks (July 2026). Edit the yellow Suggested Price / Suggested Cost cells to your own numbers, then enter the final values into the Hub's Service Pricing Admin tool. Margin recalculates automatically.</t>
  </si>
  <si>
    <t xml:space="preserve">Category</t>
  </si>
  <si>
    <t xml:space="preserve">Service</t>
  </si>
  <si>
    <t xml:space="preserve">Billing Type</t>
  </si>
  <si>
    <t xml:space="preserve">Suggested Price ($)</t>
  </si>
  <si>
    <t xml:space="preserve">Suggested Cost ($)</t>
  </si>
  <si>
    <t xml:space="preserve">Margin ($)</t>
  </si>
  <si>
    <t xml:space="preserve">Notes / Benchmark</t>
  </si>
  <si>
    <t xml:space="preserve">Organic Social</t>
  </si>
  <si>
    <t xml:space="preserve">Feed Posts (static images, carousels)</t>
  </si>
  <si>
    <t xml:space="preserve">Monthly</t>
  </si>
  <si>
    <t xml:space="preserve">Reels &amp; Short-Form Video</t>
  </si>
  <si>
    <t xml:space="preserve">Stories</t>
  </si>
  <si>
    <t xml:space="preserve">Community Management (responding to comments, DMs, engaging followers)</t>
  </si>
  <si>
    <t xml:space="preserve">Content Calendar Management</t>
  </si>
  <si>
    <t xml:space="preserve">Hashtag Strategy</t>
  </si>
  <si>
    <t xml:space="preserve">Profile Optimization</t>
  </si>
  <si>
    <t xml:space="preserve">Social Listening &amp; Trend Monitoring</t>
  </si>
  <si>
    <t xml:space="preserve">Paid Social</t>
  </si>
  <si>
    <t xml:space="preserve">Meta Ads (Facebook + Instagram)</t>
  </si>
  <si>
    <t xml:space="preserve">Mgmt fee only, excludes ad spend</t>
  </si>
  <si>
    <t xml:space="preserve">TikTok Ads</t>
  </si>
  <si>
    <t xml:space="preserve">LinkedIn Ads</t>
  </si>
  <si>
    <t xml:space="preserve">Pinterest Ads</t>
  </si>
  <si>
    <t xml:space="preserve">Snapchat Ads</t>
  </si>
  <si>
    <t xml:space="preserve">Audience Research &amp; Targeting</t>
  </si>
  <si>
    <t xml:space="preserve">Ad Creative Production</t>
  </si>
  <si>
    <t xml:space="preserve">Campaign Setup &amp; Management</t>
  </si>
  <si>
    <t xml:space="preserve">One-Time Setup</t>
  </si>
  <si>
    <t xml:space="preserve">A/B Testing</t>
  </si>
  <si>
    <t xml:space="preserve">Retargeting Campaigns</t>
  </si>
  <si>
    <t xml:space="preserve">Budget Management &amp; Reporting</t>
  </si>
  <si>
    <t xml:space="preserve">Paid Search</t>
  </si>
  <si>
    <t xml:space="preserve">Google Ads — Search</t>
  </si>
  <si>
    <t xml:space="preserve">Google Ads — Display</t>
  </si>
  <si>
    <t xml:space="preserve">Google Ads — Performance Max</t>
  </si>
  <si>
    <t xml:space="preserve">Google Ads — Shopping</t>
  </si>
  <si>
    <t xml:space="preserve">Keyword Research</t>
  </si>
  <si>
    <t xml:space="preserve">Ad Copywriting</t>
  </si>
  <si>
    <t xml:space="preserve">Landing Page Recommendations</t>
  </si>
  <si>
    <t xml:space="preserve">Bid Strategy Management</t>
  </si>
  <si>
    <t xml:space="preserve">Conversion Tracking Setup</t>
  </si>
  <si>
    <t xml:space="preserve">Quality Score Optimization</t>
  </si>
  <si>
    <t xml:space="preserve">SEO</t>
  </si>
  <si>
    <t xml:space="preserve">On-Page SEO (meta titles, descriptions, headers, content optimization)</t>
  </si>
  <si>
    <t xml:space="preserve">Technical SEO (site speed, crawlability, schema markup)</t>
  </si>
  <si>
    <t xml:space="preserve">Local SEO (Google Business Profile, local citations, NAP consistency)</t>
  </si>
  <si>
    <t xml:space="preserve">Core fit for Revital's local-business client base</t>
  </si>
  <si>
    <t xml:space="preserve">Off-Page SEO (link building, backlink outreach)</t>
  </si>
  <si>
    <t xml:space="preserve">Keyword Research &amp; Strategy</t>
  </si>
  <si>
    <t xml:space="preserve">SEO Content Writing (blog posts, landing pages)</t>
  </si>
  <si>
    <t xml:space="preserve">SEO Audits</t>
  </si>
  <si>
    <t xml:space="preserve">Google Search Console Management</t>
  </si>
  <si>
    <t xml:space="preserve">Rank Tracking &amp; Reporting</t>
  </si>
  <si>
    <t xml:space="preserve">Email Marketing</t>
  </si>
  <si>
    <t xml:space="preserve">Newsletter Campaigns</t>
  </si>
  <si>
    <t xml:space="preserve">Promotional Emails</t>
  </si>
  <si>
    <t xml:space="preserve">Drip / Nurture Sequences</t>
  </si>
  <si>
    <t xml:space="preserve">Welcome Sequences</t>
  </si>
  <si>
    <t xml:space="preserve">Re-engagement Campaigns</t>
  </si>
  <si>
    <t xml:space="preserve">List Building &amp; Growth</t>
  </si>
  <si>
    <t xml:space="preserve">List Segmentation &amp; Hygiene</t>
  </si>
  <si>
    <t xml:space="preserve">Email Copywriting</t>
  </si>
  <si>
    <t xml:space="preserve">Template Design</t>
  </si>
  <si>
    <t xml:space="preserve">A/B Testing (subject lines, send times, CTAs)</t>
  </si>
  <si>
    <t xml:space="preserve">Platform Setup &amp; Integration (Mailchimp, Klaviyo, ActiveCampaign, etc.)</t>
  </si>
  <si>
    <t xml:space="preserve">Performance Reporting</t>
  </si>
  <si>
    <t xml:space="preserve">Website Design</t>
  </si>
  <si>
    <t xml:space="preserve">New Website Builds</t>
  </si>
  <si>
    <t xml:space="preserve">Website Redesigns</t>
  </si>
  <si>
    <t xml:space="preserve">Billed monthly for project duration</t>
  </si>
  <si>
    <t xml:space="preserve">Landing Page Design &amp; Development</t>
  </si>
  <si>
    <t xml:space="preserve">Website Maintenance &amp; Updates</t>
  </si>
  <si>
    <t xml:space="preserve">UX/UI Optimization</t>
  </si>
  <si>
    <t xml:space="preserve">Conversion Rate Optimization (CRO)</t>
  </si>
  <si>
    <t xml:space="preserve">Speed &amp; Performance Optimization</t>
  </si>
  <si>
    <t xml:space="preserve">Mobile Responsiveness</t>
  </si>
  <si>
    <t xml:space="preserve">Hosting &amp; Domain Management</t>
  </si>
  <si>
    <t xml:space="preserve">Mostly pass-through + light markup</t>
  </si>
  <si>
    <t xml:space="preserve">Analytics Setup (GA4, Meta Pixel, GTM)</t>
  </si>
  <si>
    <t xml:space="preserve">E-commerce Setup (Shopify, WooCommerce)</t>
  </si>
  <si>
    <t xml:space="preserve">Platform Support: WordPress, Shopify, Webflow, Squarespace, Wix</t>
  </si>
  <si>
    <t xml:space="preserve">Inbound Marketing</t>
  </si>
  <si>
    <t xml:space="preserve">Content Strategy Development</t>
  </si>
  <si>
    <t xml:space="preserve">Blog Writing &amp; Management</t>
  </si>
  <si>
    <t xml:space="preserve">Lead Magnet Creation (guides, checklists, templates, free audits)</t>
  </si>
  <si>
    <t xml:space="preserve">Landing Page Copywriting</t>
  </si>
  <si>
    <t xml:space="preserve">Lead Capture Form Setup</t>
  </si>
  <si>
    <t xml:space="preserve">Marketing Funnel Build</t>
  </si>
  <si>
    <t xml:space="preserve">CTA Strategy</t>
  </si>
  <si>
    <t xml:space="preserve">Content Distribution</t>
  </si>
  <si>
    <t xml:space="preserve">Organic Lead Generation</t>
  </si>
  <si>
    <t xml:space="preserve">Marketing Automation Setup</t>
  </si>
  <si>
    <t xml:space="preserve">Strategy</t>
  </si>
  <si>
    <t xml:space="preserve">Marketing Audit (full assessment of current marketing efforts)</t>
  </si>
  <si>
    <t xml:space="preserve">Paid version of the free assessment used in cold outreach</t>
  </si>
  <si>
    <t xml:space="preserve">Competitor Analysis</t>
  </si>
  <si>
    <t xml:space="preserve">Brand Positioning</t>
  </si>
  <si>
    <t xml:space="preserve">Go-To-Market Strategy</t>
  </si>
  <si>
    <t xml:space="preserve">Quarterly Marketing Planning</t>
  </si>
  <si>
    <t xml:space="preserve">Campaign Strategy</t>
  </si>
  <si>
    <t xml:space="preserve">KPI Framework Development</t>
  </si>
  <si>
    <t xml:space="preserve">Analytics &amp; Data Interpretation</t>
  </si>
  <si>
    <t xml:space="preserve">Marketing Roadmap Development</t>
  </si>
  <si>
    <t xml:space="preserve">Consulting &amp; Advisory</t>
  </si>
  <si>
    <t xml:space="preserve">Software &amp; Tech Stack</t>
  </si>
  <si>
    <t xml:space="preserve">HubSpot Marketing Hub</t>
  </si>
  <si>
    <t xml:space="preserve">Cost = Starter tier + contacts allowance</t>
  </si>
  <si>
    <t xml:space="preserve">Sprout Social Seat</t>
  </si>
  <si>
    <t xml:space="preserve">Cost = Standard plan, 1 seat</t>
  </si>
  <si>
    <t xml:space="preserve">Klaviyo Base Plan</t>
  </si>
  <si>
    <t xml:space="preserve">Cost = entry tier, small contact list</t>
  </si>
  <si>
    <t xml:space="preserve">Branding &amp; Design</t>
  </si>
  <si>
    <t xml:space="preserve">Brand Strategy Session</t>
  </si>
  <si>
    <t xml:space="preserve">Discovery brief + positioning, small-biz tier</t>
  </si>
  <si>
    <t xml:space="preserve">Primary Logo Design</t>
  </si>
  <si>
    <t xml:space="preserve">Freelance-tier primary mark, $500 most common reported figure</t>
  </si>
  <si>
    <t xml:space="preserve">Logo Variations &amp; Submark</t>
  </si>
  <si>
    <t xml:space="preserve">Icon/submark + alt lockups built on primary logo</t>
  </si>
  <si>
    <t xml:space="preserve">Color Palette &amp; Typography System</t>
  </si>
  <si>
    <t xml:space="preserve">Brand Style Guide / Guidelines</t>
  </si>
  <si>
    <t xml:space="preserve">Light style guide bundling logo, color, type</t>
  </si>
  <si>
    <t xml:space="preserve">Social Media Profile Graphics</t>
  </si>
  <si>
    <t xml:space="preserve">Profile/cover images across platforms</t>
  </si>
  <si>
    <t xml:space="preserve">Branded Social Media Templates</t>
  </si>
  <si>
    <t xml:space="preserve">Reusable post/story template set</t>
  </si>
  <si>
    <t xml:space="preserve">Business Card / Promotional Design</t>
  </si>
  <si>
    <t xml:space="preserve"># Services</t>
  </si>
  <si>
    <t xml:space="preserve">Sum of Suggested Monthly Prices ($)</t>
  </si>
  <si>
    <t xml:space="preserve">Sum of Suggested One-Time Setup Prices ($)</t>
  </si>
  <si>
    <t xml:space="preserve">TOTAL</t>
  </si>
  <si>
    <t xml:space="preserve">Benchmark sources used for these suggested starting prices (small-business / local-agency tier, July 2026):</t>
  </si>
  <si>
    <t xml:space="preserve">• Social media management pricing — LYFE Marketing, Sprout Social, RecurPost (small biz tier $500-2,000/mo)</t>
  </si>
  <si>
    <t xml:space="preserve">• Paid social ad management fees — Webtonic, Stackmatix (mgmt fee separate from ad spend, 10-20% of spend or flat fee)</t>
  </si>
  <si>
    <t xml:space="preserve">• Google Ads / PPC management pricing — AMW, Outerbox Design, ALM Corp (small biz tier $500-1,500/mo)</t>
  </si>
  <si>
    <t xml:space="preserve">• Local SEO pricing — SEOProfy, Arc4, MultiWebTeam (small biz tier $500-1,500/mo, most common band)</t>
  </si>
  <si>
    <t xml:space="preserve">• Email marketing management pricing — Nutshell, AMW, Anthem Software (small biz tier $500-2,000/mo)</t>
  </si>
  <si>
    <t xml:space="preserve">• Website design cost — Levitate, GruffyGoat, OneLittleWeb (small biz builds $2,000-8,000)</t>
  </si>
  <si>
    <t xml:space="preserve">• HubSpot Marketing Hub pricing — MailSoftly, SendX ($20/seat/mo Starter + contact tiers)</t>
  </si>
  <si>
    <t xml:space="preserve">• Sprout Social pricing — Ampifire, CostBench ($199/mo Standard plan)</t>
  </si>
  <si>
    <t xml:space="preserve">• Klaviyo pricing — SendX, Omnisend ($20-45/mo entry tier by list size)</t>
  </si>
  <si>
    <t xml:space="preserve">• Logo &amp; brand identity pricing — logomakerr.ai, manypixels.co, wearetenet.com (freelance tier $300-2,000; brand identity packages $2,500+ for larger studios/agencies)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</si>
</sst>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color rgb="FF37415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F9FAFB"/>
        <bgColor rgb="FFFFFFFF"/>
      </patternFill>
    </fill>
    <fill>
      <patternFill patternType="solid">
        <fgColor rgb="FFFFFDE7"/>
        <bgColor rgb="FFF9FA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F9FAFB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12"/>
    <col collapsed="false" customWidth="true" hidden="false" outlineLevel="0" max="7" min="7" style="0" width="4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s">
        <v>8</v>
      </c>
      <c r="B4" s="3" t="s">
        <v>9</v>
      </c>
      <c r="C4" s="3" t="s">
        <v>10</v>
      </c>
      <c r="D4" s="4" t="n">
        <v>350</v>
      </c>
      <c r="E4" s="4" t="n">
        <v>0</v>
      </c>
      <c r="F4" s="5" t="n">
        <f aca="false">D4-E4</f>
        <v>350</v>
      </c>
      <c r="G4" s="3"/>
    </row>
    <row r="5" customFormat="false" ht="15" hidden="false" customHeight="false" outlineLevel="0" collapsed="false">
      <c r="A5" s="3" t="s">
        <v>8</v>
      </c>
      <c r="B5" s="3" t="s">
        <v>11</v>
      </c>
      <c r="C5" s="3" t="s">
        <v>10</v>
      </c>
      <c r="D5" s="4" t="n">
        <v>400</v>
      </c>
      <c r="E5" s="4" t="n">
        <v>0</v>
      </c>
      <c r="F5" s="5" t="n">
        <f aca="false">D5-E5</f>
        <v>400</v>
      </c>
      <c r="G5" s="3"/>
    </row>
    <row r="6" customFormat="false" ht="15" hidden="false" customHeight="false" outlineLevel="0" collapsed="false">
      <c r="A6" s="3" t="s">
        <v>8</v>
      </c>
      <c r="B6" s="3" t="s">
        <v>12</v>
      </c>
      <c r="C6" s="3" t="s">
        <v>10</v>
      </c>
      <c r="D6" s="4" t="n">
        <v>150</v>
      </c>
      <c r="E6" s="4" t="n">
        <v>0</v>
      </c>
      <c r="F6" s="5" t="n">
        <f aca="false">D6-E6</f>
        <v>150</v>
      </c>
      <c r="G6" s="3"/>
    </row>
    <row r="7" customFormat="false" ht="23.85" hidden="false" customHeight="false" outlineLevel="0" collapsed="false">
      <c r="A7" s="3" t="s">
        <v>8</v>
      </c>
      <c r="B7" s="3" t="s">
        <v>13</v>
      </c>
      <c r="C7" s="3" t="s">
        <v>10</v>
      </c>
      <c r="D7" s="4" t="n">
        <v>250</v>
      </c>
      <c r="E7" s="4" t="n">
        <v>0</v>
      </c>
      <c r="F7" s="5" t="n">
        <f aca="false">D7-E7</f>
        <v>250</v>
      </c>
      <c r="G7" s="3"/>
    </row>
    <row r="8" customFormat="false" ht="15" hidden="false" customHeight="false" outlineLevel="0" collapsed="false">
      <c r="A8" s="3" t="s">
        <v>8</v>
      </c>
      <c r="B8" s="3" t="s">
        <v>14</v>
      </c>
      <c r="C8" s="3" t="s">
        <v>10</v>
      </c>
      <c r="D8" s="4" t="n">
        <v>200</v>
      </c>
      <c r="E8" s="4" t="n">
        <v>0</v>
      </c>
      <c r="F8" s="5" t="n">
        <f aca="false">D8-E8</f>
        <v>200</v>
      </c>
      <c r="G8" s="3"/>
    </row>
    <row r="9" customFormat="false" ht="15" hidden="false" customHeight="false" outlineLevel="0" collapsed="false">
      <c r="A9" s="3" t="s">
        <v>8</v>
      </c>
      <c r="B9" s="3" t="s">
        <v>15</v>
      </c>
      <c r="C9" s="3" t="s">
        <v>10</v>
      </c>
      <c r="D9" s="4" t="n">
        <v>100</v>
      </c>
      <c r="E9" s="4" t="n">
        <v>0</v>
      </c>
      <c r="F9" s="5" t="n">
        <f aca="false">D9-E9</f>
        <v>100</v>
      </c>
      <c r="G9" s="3"/>
    </row>
    <row r="10" customFormat="false" ht="15" hidden="false" customHeight="false" outlineLevel="0" collapsed="false">
      <c r="A10" s="3" t="s">
        <v>8</v>
      </c>
      <c r="B10" s="3" t="s">
        <v>16</v>
      </c>
      <c r="C10" s="3" t="s">
        <v>10</v>
      </c>
      <c r="D10" s="4" t="n">
        <v>100</v>
      </c>
      <c r="E10" s="4" t="n">
        <v>0</v>
      </c>
      <c r="F10" s="5" t="n">
        <f aca="false">D10-E10</f>
        <v>100</v>
      </c>
      <c r="G10" s="3"/>
    </row>
    <row r="11" customFormat="false" ht="15" hidden="false" customHeight="false" outlineLevel="0" collapsed="false">
      <c r="A11" s="3" t="s">
        <v>8</v>
      </c>
      <c r="B11" s="3" t="s">
        <v>17</v>
      </c>
      <c r="C11" s="3" t="s">
        <v>10</v>
      </c>
      <c r="D11" s="4" t="n">
        <v>150</v>
      </c>
      <c r="E11" s="4" t="n">
        <v>0</v>
      </c>
      <c r="F11" s="5" t="n">
        <f aca="false">D11-E11</f>
        <v>150</v>
      </c>
      <c r="G11" s="3"/>
    </row>
    <row r="12" customFormat="false" ht="15" hidden="false" customHeight="false" outlineLevel="0" collapsed="false">
      <c r="A12" s="6" t="s">
        <v>18</v>
      </c>
      <c r="B12" s="6" t="s">
        <v>19</v>
      </c>
      <c r="C12" s="6" t="s">
        <v>10</v>
      </c>
      <c r="D12" s="7" t="n">
        <v>600</v>
      </c>
      <c r="E12" s="7" t="n">
        <v>0</v>
      </c>
      <c r="F12" s="8" t="n">
        <f aca="false">D12-E12</f>
        <v>600</v>
      </c>
      <c r="G12" s="6" t="s">
        <v>20</v>
      </c>
    </row>
    <row r="13" customFormat="false" ht="15" hidden="false" customHeight="false" outlineLevel="0" collapsed="false">
      <c r="A13" s="6" t="s">
        <v>18</v>
      </c>
      <c r="B13" s="6" t="s">
        <v>21</v>
      </c>
      <c r="C13" s="6" t="s">
        <v>10</v>
      </c>
      <c r="D13" s="7" t="n">
        <v>500</v>
      </c>
      <c r="E13" s="7" t="n">
        <v>0</v>
      </c>
      <c r="F13" s="8" t="n">
        <f aca="false">D13-E13</f>
        <v>500</v>
      </c>
      <c r="G13" s="6" t="s">
        <v>20</v>
      </c>
    </row>
    <row r="14" customFormat="false" ht="15" hidden="false" customHeight="false" outlineLevel="0" collapsed="false">
      <c r="A14" s="6" t="s">
        <v>18</v>
      </c>
      <c r="B14" s="6" t="s">
        <v>22</v>
      </c>
      <c r="C14" s="6" t="s">
        <v>10</v>
      </c>
      <c r="D14" s="7" t="n">
        <v>600</v>
      </c>
      <c r="E14" s="7" t="n">
        <v>0</v>
      </c>
      <c r="F14" s="8" t="n">
        <f aca="false">D14-E14</f>
        <v>600</v>
      </c>
      <c r="G14" s="6" t="s">
        <v>20</v>
      </c>
    </row>
    <row r="15" customFormat="false" ht="15" hidden="false" customHeight="false" outlineLevel="0" collapsed="false">
      <c r="A15" s="6" t="s">
        <v>18</v>
      </c>
      <c r="B15" s="6" t="s">
        <v>23</v>
      </c>
      <c r="C15" s="6" t="s">
        <v>10</v>
      </c>
      <c r="D15" s="7" t="n">
        <v>350</v>
      </c>
      <c r="E15" s="7" t="n">
        <v>0</v>
      </c>
      <c r="F15" s="8" t="n">
        <f aca="false">D15-E15</f>
        <v>350</v>
      </c>
      <c r="G15" s="6" t="s">
        <v>20</v>
      </c>
    </row>
    <row r="16" customFormat="false" ht="15" hidden="false" customHeight="false" outlineLevel="0" collapsed="false">
      <c r="A16" s="6" t="s">
        <v>18</v>
      </c>
      <c r="B16" s="6" t="s">
        <v>24</v>
      </c>
      <c r="C16" s="6" t="s">
        <v>10</v>
      </c>
      <c r="D16" s="7" t="n">
        <v>350</v>
      </c>
      <c r="E16" s="7" t="n">
        <v>0</v>
      </c>
      <c r="F16" s="8" t="n">
        <f aca="false">D16-E16</f>
        <v>350</v>
      </c>
      <c r="G16" s="6" t="s">
        <v>20</v>
      </c>
    </row>
    <row r="17" customFormat="false" ht="15" hidden="false" customHeight="false" outlineLevel="0" collapsed="false">
      <c r="A17" s="6" t="s">
        <v>18</v>
      </c>
      <c r="B17" s="6" t="s">
        <v>25</v>
      </c>
      <c r="C17" s="6" t="s">
        <v>10</v>
      </c>
      <c r="D17" s="7" t="n">
        <v>200</v>
      </c>
      <c r="E17" s="7" t="n">
        <v>0</v>
      </c>
      <c r="F17" s="8" t="n">
        <f aca="false">D17-E17</f>
        <v>200</v>
      </c>
      <c r="G17" s="6"/>
    </row>
    <row r="18" customFormat="false" ht="15" hidden="false" customHeight="false" outlineLevel="0" collapsed="false">
      <c r="A18" s="6" t="s">
        <v>18</v>
      </c>
      <c r="B18" s="6" t="s">
        <v>26</v>
      </c>
      <c r="C18" s="6" t="s">
        <v>10</v>
      </c>
      <c r="D18" s="7" t="n">
        <v>300</v>
      </c>
      <c r="E18" s="7" t="n">
        <v>0</v>
      </c>
      <c r="F18" s="8" t="n">
        <f aca="false">D18-E18</f>
        <v>300</v>
      </c>
      <c r="G18" s="6"/>
    </row>
    <row r="19" customFormat="false" ht="15" hidden="false" customHeight="false" outlineLevel="0" collapsed="false">
      <c r="A19" s="6" t="s">
        <v>18</v>
      </c>
      <c r="B19" s="6" t="s">
        <v>27</v>
      </c>
      <c r="C19" s="6" t="s">
        <v>28</v>
      </c>
      <c r="D19" s="7" t="n">
        <v>500</v>
      </c>
      <c r="E19" s="7" t="n">
        <v>0</v>
      </c>
      <c r="F19" s="8" t="n">
        <f aca="false">D19-E19</f>
        <v>500</v>
      </c>
      <c r="G19" s="6"/>
    </row>
    <row r="20" customFormat="false" ht="15" hidden="false" customHeight="false" outlineLevel="0" collapsed="false">
      <c r="A20" s="6" t="s">
        <v>18</v>
      </c>
      <c r="B20" s="6" t="s">
        <v>29</v>
      </c>
      <c r="C20" s="6" t="s">
        <v>10</v>
      </c>
      <c r="D20" s="7" t="n">
        <v>150</v>
      </c>
      <c r="E20" s="7" t="n">
        <v>0</v>
      </c>
      <c r="F20" s="8" t="n">
        <f aca="false">D20-E20</f>
        <v>150</v>
      </c>
      <c r="G20" s="6"/>
    </row>
    <row r="21" customFormat="false" ht="15" hidden="false" customHeight="false" outlineLevel="0" collapsed="false">
      <c r="A21" s="6" t="s">
        <v>18</v>
      </c>
      <c r="B21" s="6" t="s">
        <v>30</v>
      </c>
      <c r="C21" s="6" t="s">
        <v>10</v>
      </c>
      <c r="D21" s="7" t="n">
        <v>250</v>
      </c>
      <c r="E21" s="7" t="n">
        <v>0</v>
      </c>
      <c r="F21" s="8" t="n">
        <f aca="false">D21-E21</f>
        <v>250</v>
      </c>
      <c r="G21" s="6"/>
    </row>
    <row r="22" customFormat="false" ht="15" hidden="false" customHeight="false" outlineLevel="0" collapsed="false">
      <c r="A22" s="6" t="s">
        <v>18</v>
      </c>
      <c r="B22" s="6" t="s">
        <v>31</v>
      </c>
      <c r="C22" s="6" t="s">
        <v>10</v>
      </c>
      <c r="D22" s="7" t="n">
        <v>150</v>
      </c>
      <c r="E22" s="7" t="n">
        <v>0</v>
      </c>
      <c r="F22" s="8" t="n">
        <f aca="false">D22-E22</f>
        <v>150</v>
      </c>
      <c r="G22" s="6"/>
    </row>
    <row r="23" customFormat="false" ht="15" hidden="false" customHeight="false" outlineLevel="0" collapsed="false">
      <c r="A23" s="3" t="s">
        <v>32</v>
      </c>
      <c r="B23" s="3" t="s">
        <v>33</v>
      </c>
      <c r="C23" s="3" t="s">
        <v>10</v>
      </c>
      <c r="D23" s="4" t="n">
        <v>700</v>
      </c>
      <c r="E23" s="4" t="n">
        <v>0</v>
      </c>
      <c r="F23" s="5" t="n">
        <f aca="false">D23-E23</f>
        <v>700</v>
      </c>
      <c r="G23" s="3" t="s">
        <v>20</v>
      </c>
    </row>
    <row r="24" customFormat="false" ht="15" hidden="false" customHeight="false" outlineLevel="0" collapsed="false">
      <c r="A24" s="3" t="s">
        <v>32</v>
      </c>
      <c r="B24" s="3" t="s">
        <v>34</v>
      </c>
      <c r="C24" s="3" t="s">
        <v>10</v>
      </c>
      <c r="D24" s="4" t="n">
        <v>500</v>
      </c>
      <c r="E24" s="4" t="n">
        <v>0</v>
      </c>
      <c r="F24" s="5" t="n">
        <f aca="false">D24-E24</f>
        <v>500</v>
      </c>
      <c r="G24" s="3" t="s">
        <v>20</v>
      </c>
    </row>
    <row r="25" customFormat="false" ht="15" hidden="false" customHeight="false" outlineLevel="0" collapsed="false">
      <c r="A25" s="3" t="s">
        <v>32</v>
      </c>
      <c r="B25" s="3" t="s">
        <v>35</v>
      </c>
      <c r="C25" s="3" t="s">
        <v>10</v>
      </c>
      <c r="D25" s="4" t="n">
        <v>600</v>
      </c>
      <c r="E25" s="4" t="n">
        <v>0</v>
      </c>
      <c r="F25" s="5" t="n">
        <f aca="false">D25-E25</f>
        <v>600</v>
      </c>
      <c r="G25" s="3" t="s">
        <v>20</v>
      </c>
    </row>
    <row r="26" customFormat="false" ht="15" hidden="false" customHeight="false" outlineLevel="0" collapsed="false">
      <c r="A26" s="3" t="s">
        <v>32</v>
      </c>
      <c r="B26" s="3" t="s">
        <v>36</v>
      </c>
      <c r="C26" s="3" t="s">
        <v>10</v>
      </c>
      <c r="D26" s="4" t="n">
        <v>500</v>
      </c>
      <c r="E26" s="4" t="n">
        <v>0</v>
      </c>
      <c r="F26" s="5" t="n">
        <f aca="false">D26-E26</f>
        <v>500</v>
      </c>
      <c r="G26" s="3" t="s">
        <v>20</v>
      </c>
    </row>
    <row r="27" customFormat="false" ht="15" hidden="false" customHeight="false" outlineLevel="0" collapsed="false">
      <c r="A27" s="3" t="s">
        <v>32</v>
      </c>
      <c r="B27" s="3" t="s">
        <v>37</v>
      </c>
      <c r="C27" s="3" t="s">
        <v>10</v>
      </c>
      <c r="D27" s="4" t="n">
        <v>200</v>
      </c>
      <c r="E27" s="4" t="n">
        <v>0</v>
      </c>
      <c r="F27" s="5" t="n">
        <f aca="false">D27-E27</f>
        <v>200</v>
      </c>
      <c r="G27" s="3"/>
    </row>
    <row r="28" customFormat="false" ht="15" hidden="false" customHeight="false" outlineLevel="0" collapsed="false">
      <c r="A28" s="3" t="s">
        <v>32</v>
      </c>
      <c r="B28" s="3" t="s">
        <v>38</v>
      </c>
      <c r="C28" s="3" t="s">
        <v>10</v>
      </c>
      <c r="D28" s="4" t="n">
        <v>200</v>
      </c>
      <c r="E28" s="4" t="n">
        <v>0</v>
      </c>
      <c r="F28" s="5" t="n">
        <f aca="false">D28-E28</f>
        <v>200</v>
      </c>
      <c r="G28" s="3"/>
    </row>
    <row r="29" customFormat="false" ht="15" hidden="false" customHeight="false" outlineLevel="0" collapsed="false">
      <c r="A29" s="3" t="s">
        <v>32</v>
      </c>
      <c r="B29" s="3" t="s">
        <v>39</v>
      </c>
      <c r="C29" s="3" t="s">
        <v>10</v>
      </c>
      <c r="D29" s="4" t="n">
        <v>150</v>
      </c>
      <c r="E29" s="4" t="n">
        <v>0</v>
      </c>
      <c r="F29" s="5" t="n">
        <f aca="false">D29-E29</f>
        <v>150</v>
      </c>
      <c r="G29" s="3"/>
    </row>
    <row r="30" customFormat="false" ht="15" hidden="false" customHeight="false" outlineLevel="0" collapsed="false">
      <c r="A30" s="3" t="s">
        <v>32</v>
      </c>
      <c r="B30" s="3" t="s">
        <v>40</v>
      </c>
      <c r="C30" s="3" t="s">
        <v>10</v>
      </c>
      <c r="D30" s="4" t="n">
        <v>200</v>
      </c>
      <c r="E30" s="4" t="n">
        <v>0</v>
      </c>
      <c r="F30" s="5" t="n">
        <f aca="false">D30-E30</f>
        <v>200</v>
      </c>
      <c r="G30" s="3"/>
    </row>
    <row r="31" customFormat="false" ht="15" hidden="false" customHeight="false" outlineLevel="0" collapsed="false">
      <c r="A31" s="3" t="s">
        <v>32</v>
      </c>
      <c r="B31" s="3" t="s">
        <v>41</v>
      </c>
      <c r="C31" s="3" t="s">
        <v>28</v>
      </c>
      <c r="D31" s="4" t="n">
        <v>350</v>
      </c>
      <c r="E31" s="4" t="n">
        <v>0</v>
      </c>
      <c r="F31" s="5" t="n">
        <f aca="false">D31-E31</f>
        <v>350</v>
      </c>
      <c r="G31" s="3"/>
    </row>
    <row r="32" customFormat="false" ht="15" hidden="false" customHeight="false" outlineLevel="0" collapsed="false">
      <c r="A32" s="3" t="s">
        <v>32</v>
      </c>
      <c r="B32" s="3" t="s">
        <v>42</v>
      </c>
      <c r="C32" s="3" t="s">
        <v>10</v>
      </c>
      <c r="D32" s="4" t="n">
        <v>150</v>
      </c>
      <c r="E32" s="4" t="n">
        <v>0</v>
      </c>
      <c r="F32" s="5" t="n">
        <f aca="false">D32-E32</f>
        <v>150</v>
      </c>
      <c r="G32" s="3"/>
    </row>
    <row r="33" customFormat="false" ht="23.85" hidden="false" customHeight="false" outlineLevel="0" collapsed="false">
      <c r="A33" s="6" t="s">
        <v>43</v>
      </c>
      <c r="B33" s="6" t="s">
        <v>44</v>
      </c>
      <c r="C33" s="6" t="s">
        <v>10</v>
      </c>
      <c r="D33" s="7" t="n">
        <v>400</v>
      </c>
      <c r="E33" s="7" t="n">
        <v>0</v>
      </c>
      <c r="F33" s="8" t="n">
        <f aca="false">D33-E33</f>
        <v>400</v>
      </c>
      <c r="G33" s="6"/>
    </row>
    <row r="34" customFormat="false" ht="23.85" hidden="false" customHeight="false" outlineLevel="0" collapsed="false">
      <c r="A34" s="6" t="s">
        <v>43</v>
      </c>
      <c r="B34" s="6" t="s">
        <v>45</v>
      </c>
      <c r="C34" s="6" t="s">
        <v>10</v>
      </c>
      <c r="D34" s="7" t="n">
        <v>350</v>
      </c>
      <c r="E34" s="7" t="n">
        <v>0</v>
      </c>
      <c r="F34" s="8" t="n">
        <f aca="false">D34-E34</f>
        <v>350</v>
      </c>
      <c r="G34" s="6"/>
    </row>
    <row r="35" customFormat="false" ht="23.85" hidden="false" customHeight="false" outlineLevel="0" collapsed="false">
      <c r="A35" s="6" t="s">
        <v>43</v>
      </c>
      <c r="B35" s="6" t="s">
        <v>46</v>
      </c>
      <c r="C35" s="6" t="s">
        <v>10</v>
      </c>
      <c r="D35" s="7" t="n">
        <v>450</v>
      </c>
      <c r="E35" s="7" t="n">
        <v>0</v>
      </c>
      <c r="F35" s="8" t="n">
        <f aca="false">D35-E35</f>
        <v>450</v>
      </c>
      <c r="G35" s="6" t="s">
        <v>47</v>
      </c>
    </row>
    <row r="36" customFormat="false" ht="15" hidden="false" customHeight="false" outlineLevel="0" collapsed="false">
      <c r="A36" s="6" t="s">
        <v>43</v>
      </c>
      <c r="B36" s="6" t="s">
        <v>48</v>
      </c>
      <c r="C36" s="6" t="s">
        <v>10</v>
      </c>
      <c r="D36" s="7" t="n">
        <v>400</v>
      </c>
      <c r="E36" s="7" t="n">
        <v>0</v>
      </c>
      <c r="F36" s="8" t="n">
        <f aca="false">D36-E36</f>
        <v>400</v>
      </c>
      <c r="G36" s="6"/>
    </row>
    <row r="37" customFormat="false" ht="15" hidden="false" customHeight="false" outlineLevel="0" collapsed="false">
      <c r="A37" s="6" t="s">
        <v>43</v>
      </c>
      <c r="B37" s="6" t="s">
        <v>49</v>
      </c>
      <c r="C37" s="6" t="s">
        <v>10</v>
      </c>
      <c r="D37" s="7" t="n">
        <v>200</v>
      </c>
      <c r="E37" s="7" t="n">
        <v>0</v>
      </c>
      <c r="F37" s="8" t="n">
        <f aca="false">D37-E37</f>
        <v>200</v>
      </c>
      <c r="G37" s="6"/>
    </row>
    <row r="38" customFormat="false" ht="15" hidden="false" customHeight="false" outlineLevel="0" collapsed="false">
      <c r="A38" s="6" t="s">
        <v>43</v>
      </c>
      <c r="B38" s="6" t="s">
        <v>50</v>
      </c>
      <c r="C38" s="6" t="s">
        <v>10</v>
      </c>
      <c r="D38" s="7" t="n">
        <v>350</v>
      </c>
      <c r="E38" s="7" t="n">
        <v>0</v>
      </c>
      <c r="F38" s="8" t="n">
        <f aca="false">D38-E38</f>
        <v>350</v>
      </c>
      <c r="G38" s="6"/>
    </row>
    <row r="39" customFormat="false" ht="15" hidden="false" customHeight="false" outlineLevel="0" collapsed="false">
      <c r="A39" s="6" t="s">
        <v>43</v>
      </c>
      <c r="B39" s="6" t="s">
        <v>51</v>
      </c>
      <c r="C39" s="6" t="s">
        <v>28</v>
      </c>
      <c r="D39" s="7" t="n">
        <v>500</v>
      </c>
      <c r="E39" s="7" t="n">
        <v>0</v>
      </c>
      <c r="F39" s="8" t="n">
        <f aca="false">D39-E39</f>
        <v>500</v>
      </c>
      <c r="G39" s="6"/>
    </row>
    <row r="40" customFormat="false" ht="15" hidden="false" customHeight="false" outlineLevel="0" collapsed="false">
      <c r="A40" s="6" t="s">
        <v>43</v>
      </c>
      <c r="B40" s="6" t="s">
        <v>52</v>
      </c>
      <c r="C40" s="6" t="s">
        <v>10</v>
      </c>
      <c r="D40" s="7" t="n">
        <v>150</v>
      </c>
      <c r="E40" s="7" t="n">
        <v>0</v>
      </c>
      <c r="F40" s="8" t="n">
        <f aca="false">D40-E40</f>
        <v>150</v>
      </c>
      <c r="G40" s="6"/>
    </row>
    <row r="41" customFormat="false" ht="15" hidden="false" customHeight="false" outlineLevel="0" collapsed="false">
      <c r="A41" s="6" t="s">
        <v>43</v>
      </c>
      <c r="B41" s="6" t="s">
        <v>53</v>
      </c>
      <c r="C41" s="6" t="s">
        <v>10</v>
      </c>
      <c r="D41" s="7" t="n">
        <v>150</v>
      </c>
      <c r="E41" s="7" t="n">
        <v>0</v>
      </c>
      <c r="F41" s="8" t="n">
        <f aca="false">D41-E41</f>
        <v>150</v>
      </c>
      <c r="G41" s="6"/>
    </row>
    <row r="42" customFormat="false" ht="15" hidden="false" customHeight="false" outlineLevel="0" collapsed="false">
      <c r="A42" s="3" t="s">
        <v>54</v>
      </c>
      <c r="B42" s="3" t="s">
        <v>55</v>
      </c>
      <c r="C42" s="3" t="s">
        <v>10</v>
      </c>
      <c r="D42" s="4" t="n">
        <v>250</v>
      </c>
      <c r="E42" s="4" t="n">
        <v>0</v>
      </c>
      <c r="F42" s="5" t="n">
        <f aca="false">D42-E42</f>
        <v>250</v>
      </c>
      <c r="G42" s="3"/>
    </row>
    <row r="43" customFormat="false" ht="15" hidden="false" customHeight="false" outlineLevel="0" collapsed="false">
      <c r="A43" s="3" t="s">
        <v>54</v>
      </c>
      <c r="B43" s="3" t="s">
        <v>56</v>
      </c>
      <c r="C43" s="3" t="s">
        <v>10</v>
      </c>
      <c r="D43" s="4" t="n">
        <v>200</v>
      </c>
      <c r="E43" s="4" t="n">
        <v>0</v>
      </c>
      <c r="F43" s="5" t="n">
        <f aca="false">D43-E43</f>
        <v>200</v>
      </c>
      <c r="G43" s="3"/>
    </row>
    <row r="44" customFormat="false" ht="15" hidden="false" customHeight="false" outlineLevel="0" collapsed="false">
      <c r="A44" s="3" t="s">
        <v>54</v>
      </c>
      <c r="B44" s="3" t="s">
        <v>57</v>
      </c>
      <c r="C44" s="3" t="s">
        <v>10</v>
      </c>
      <c r="D44" s="4" t="n">
        <v>300</v>
      </c>
      <c r="E44" s="4" t="n">
        <v>0</v>
      </c>
      <c r="F44" s="5" t="n">
        <f aca="false">D44-E44</f>
        <v>300</v>
      </c>
      <c r="G44" s="3"/>
    </row>
    <row r="45" customFormat="false" ht="15" hidden="false" customHeight="false" outlineLevel="0" collapsed="false">
      <c r="A45" s="3" t="s">
        <v>54</v>
      </c>
      <c r="B45" s="3" t="s">
        <v>58</v>
      </c>
      <c r="C45" s="3" t="s">
        <v>10</v>
      </c>
      <c r="D45" s="4" t="n">
        <v>150</v>
      </c>
      <c r="E45" s="4" t="n">
        <v>0</v>
      </c>
      <c r="F45" s="5" t="n">
        <f aca="false">D45-E45</f>
        <v>150</v>
      </c>
      <c r="G45" s="3"/>
    </row>
    <row r="46" customFormat="false" ht="15" hidden="false" customHeight="false" outlineLevel="0" collapsed="false">
      <c r="A46" s="3" t="s">
        <v>54</v>
      </c>
      <c r="B46" s="3" t="s">
        <v>59</v>
      </c>
      <c r="C46" s="3" t="s">
        <v>10</v>
      </c>
      <c r="D46" s="4" t="n">
        <v>200</v>
      </c>
      <c r="E46" s="4" t="n">
        <v>0</v>
      </c>
      <c r="F46" s="5" t="n">
        <f aca="false">D46-E46</f>
        <v>200</v>
      </c>
      <c r="G46" s="3"/>
    </row>
    <row r="47" customFormat="false" ht="15" hidden="false" customHeight="false" outlineLevel="0" collapsed="false">
      <c r="A47" s="3" t="s">
        <v>54</v>
      </c>
      <c r="B47" s="3" t="s">
        <v>60</v>
      </c>
      <c r="C47" s="3" t="s">
        <v>28</v>
      </c>
      <c r="D47" s="4" t="n">
        <v>300</v>
      </c>
      <c r="E47" s="4" t="n">
        <v>0</v>
      </c>
      <c r="F47" s="5" t="n">
        <f aca="false">D47-E47</f>
        <v>300</v>
      </c>
      <c r="G47" s="3"/>
    </row>
    <row r="48" customFormat="false" ht="15" hidden="false" customHeight="false" outlineLevel="0" collapsed="false">
      <c r="A48" s="3" t="s">
        <v>54</v>
      </c>
      <c r="B48" s="3" t="s">
        <v>61</v>
      </c>
      <c r="C48" s="3" t="s">
        <v>10</v>
      </c>
      <c r="D48" s="4" t="n">
        <v>150</v>
      </c>
      <c r="E48" s="4" t="n">
        <v>0</v>
      </c>
      <c r="F48" s="5" t="n">
        <f aca="false">D48-E48</f>
        <v>150</v>
      </c>
      <c r="G48" s="3"/>
    </row>
    <row r="49" customFormat="false" ht="15" hidden="false" customHeight="false" outlineLevel="0" collapsed="false">
      <c r="A49" s="3" t="s">
        <v>54</v>
      </c>
      <c r="B49" s="3" t="s">
        <v>62</v>
      </c>
      <c r="C49" s="3" t="s">
        <v>10</v>
      </c>
      <c r="D49" s="4" t="n">
        <v>200</v>
      </c>
      <c r="E49" s="4" t="n">
        <v>0</v>
      </c>
      <c r="F49" s="5" t="n">
        <f aca="false">D49-E49</f>
        <v>200</v>
      </c>
      <c r="G49" s="3"/>
    </row>
    <row r="50" customFormat="false" ht="15" hidden="false" customHeight="false" outlineLevel="0" collapsed="false">
      <c r="A50" s="3" t="s">
        <v>54</v>
      </c>
      <c r="B50" s="3" t="s">
        <v>63</v>
      </c>
      <c r="C50" s="3" t="s">
        <v>10</v>
      </c>
      <c r="D50" s="4" t="n">
        <v>250</v>
      </c>
      <c r="E50" s="4" t="n">
        <v>0</v>
      </c>
      <c r="F50" s="5" t="n">
        <f aca="false">D50-E50</f>
        <v>250</v>
      </c>
      <c r="G50" s="3"/>
    </row>
    <row r="51" customFormat="false" ht="15" hidden="false" customHeight="false" outlineLevel="0" collapsed="false">
      <c r="A51" s="3" t="s">
        <v>54</v>
      </c>
      <c r="B51" s="3" t="s">
        <v>64</v>
      </c>
      <c r="C51" s="3" t="s">
        <v>10</v>
      </c>
      <c r="D51" s="4" t="n">
        <v>100</v>
      </c>
      <c r="E51" s="4" t="n">
        <v>0</v>
      </c>
      <c r="F51" s="5" t="n">
        <f aca="false">D51-E51</f>
        <v>100</v>
      </c>
      <c r="G51" s="3"/>
    </row>
    <row r="52" customFormat="false" ht="23.85" hidden="false" customHeight="false" outlineLevel="0" collapsed="false">
      <c r="A52" s="3" t="s">
        <v>54</v>
      </c>
      <c r="B52" s="3" t="s">
        <v>65</v>
      </c>
      <c r="C52" s="3" t="s">
        <v>28</v>
      </c>
      <c r="D52" s="4" t="n">
        <v>400</v>
      </c>
      <c r="E52" s="4" t="n">
        <v>0</v>
      </c>
      <c r="F52" s="5" t="n">
        <f aca="false">D52-E52</f>
        <v>400</v>
      </c>
      <c r="G52" s="3"/>
    </row>
    <row r="53" customFormat="false" ht="15" hidden="false" customHeight="false" outlineLevel="0" collapsed="false">
      <c r="A53" s="3" t="s">
        <v>54</v>
      </c>
      <c r="B53" s="3" t="s">
        <v>66</v>
      </c>
      <c r="C53" s="3" t="s">
        <v>10</v>
      </c>
      <c r="D53" s="4" t="n">
        <v>100</v>
      </c>
      <c r="E53" s="4" t="n">
        <v>0</v>
      </c>
      <c r="F53" s="5" t="n">
        <f aca="false">D53-E53</f>
        <v>100</v>
      </c>
      <c r="G53" s="3"/>
    </row>
    <row r="54" customFormat="false" ht="15" hidden="false" customHeight="false" outlineLevel="0" collapsed="false">
      <c r="A54" s="6" t="s">
        <v>67</v>
      </c>
      <c r="B54" s="6" t="s">
        <v>68</v>
      </c>
      <c r="C54" s="6" t="s">
        <v>28</v>
      </c>
      <c r="D54" s="7" t="n">
        <v>3500</v>
      </c>
      <c r="E54" s="7" t="n">
        <v>0</v>
      </c>
      <c r="F54" s="8" t="n">
        <f aca="false">D54-E54</f>
        <v>3500</v>
      </c>
      <c r="G54" s="6"/>
    </row>
    <row r="55" customFormat="false" ht="15" hidden="false" customHeight="false" outlineLevel="0" collapsed="false">
      <c r="A55" s="6" t="s">
        <v>67</v>
      </c>
      <c r="B55" s="6" t="s">
        <v>69</v>
      </c>
      <c r="C55" s="6" t="s">
        <v>10</v>
      </c>
      <c r="D55" s="7" t="n">
        <v>500</v>
      </c>
      <c r="E55" s="7" t="n">
        <v>0</v>
      </c>
      <c r="F55" s="8" t="n">
        <f aca="false">D55-E55</f>
        <v>500</v>
      </c>
      <c r="G55" s="6" t="s">
        <v>70</v>
      </c>
    </row>
    <row r="56" customFormat="false" ht="15" hidden="false" customHeight="false" outlineLevel="0" collapsed="false">
      <c r="A56" s="6" t="s">
        <v>67</v>
      </c>
      <c r="B56" s="6" t="s">
        <v>71</v>
      </c>
      <c r="C56" s="6" t="s">
        <v>28</v>
      </c>
      <c r="D56" s="7" t="n">
        <v>600</v>
      </c>
      <c r="E56" s="7" t="n">
        <v>0</v>
      </c>
      <c r="F56" s="8" t="n">
        <f aca="false">D56-E56</f>
        <v>600</v>
      </c>
      <c r="G56" s="6"/>
    </row>
    <row r="57" customFormat="false" ht="15" hidden="false" customHeight="false" outlineLevel="0" collapsed="false">
      <c r="A57" s="6" t="s">
        <v>67</v>
      </c>
      <c r="B57" s="6" t="s">
        <v>72</v>
      </c>
      <c r="C57" s="6" t="s">
        <v>10</v>
      </c>
      <c r="D57" s="7" t="n">
        <v>150</v>
      </c>
      <c r="E57" s="7" t="n">
        <v>0</v>
      </c>
      <c r="F57" s="8" t="n">
        <f aca="false">D57-E57</f>
        <v>150</v>
      </c>
      <c r="G57" s="6"/>
    </row>
    <row r="58" customFormat="false" ht="15" hidden="false" customHeight="false" outlineLevel="0" collapsed="false">
      <c r="A58" s="6" t="s">
        <v>67</v>
      </c>
      <c r="B58" s="6" t="s">
        <v>73</v>
      </c>
      <c r="C58" s="6" t="s">
        <v>10</v>
      </c>
      <c r="D58" s="7" t="n">
        <v>300</v>
      </c>
      <c r="E58" s="7" t="n">
        <v>0</v>
      </c>
      <c r="F58" s="8" t="n">
        <f aca="false">D58-E58</f>
        <v>300</v>
      </c>
      <c r="G58" s="6"/>
    </row>
    <row r="59" customFormat="false" ht="15" hidden="false" customHeight="false" outlineLevel="0" collapsed="false">
      <c r="A59" s="6" t="s">
        <v>67</v>
      </c>
      <c r="B59" s="6" t="s">
        <v>74</v>
      </c>
      <c r="C59" s="6" t="s">
        <v>10</v>
      </c>
      <c r="D59" s="7" t="n">
        <v>300</v>
      </c>
      <c r="E59" s="7" t="n">
        <v>0</v>
      </c>
      <c r="F59" s="8" t="n">
        <f aca="false">D59-E59</f>
        <v>300</v>
      </c>
      <c r="G59" s="6"/>
    </row>
    <row r="60" customFormat="false" ht="15" hidden="false" customHeight="false" outlineLevel="0" collapsed="false">
      <c r="A60" s="6" t="s">
        <v>67</v>
      </c>
      <c r="B60" s="6" t="s">
        <v>75</v>
      </c>
      <c r="C60" s="6" t="s">
        <v>10</v>
      </c>
      <c r="D60" s="7" t="n">
        <v>200</v>
      </c>
      <c r="E60" s="7" t="n">
        <v>0</v>
      </c>
      <c r="F60" s="8" t="n">
        <f aca="false">D60-E60</f>
        <v>200</v>
      </c>
      <c r="G60" s="6"/>
    </row>
    <row r="61" customFormat="false" ht="15" hidden="false" customHeight="false" outlineLevel="0" collapsed="false">
      <c r="A61" s="6" t="s">
        <v>67</v>
      </c>
      <c r="B61" s="6" t="s">
        <v>76</v>
      </c>
      <c r="C61" s="6" t="s">
        <v>10</v>
      </c>
      <c r="D61" s="7" t="n">
        <v>150</v>
      </c>
      <c r="E61" s="7" t="n">
        <v>0</v>
      </c>
      <c r="F61" s="8" t="n">
        <f aca="false">D61-E61</f>
        <v>150</v>
      </c>
      <c r="G61" s="6"/>
    </row>
    <row r="62" customFormat="false" ht="15" hidden="false" customHeight="false" outlineLevel="0" collapsed="false">
      <c r="A62" s="6" t="s">
        <v>67</v>
      </c>
      <c r="B62" s="6" t="s">
        <v>77</v>
      </c>
      <c r="C62" s="6" t="s">
        <v>10</v>
      </c>
      <c r="D62" s="7" t="n">
        <v>50</v>
      </c>
      <c r="E62" s="7" t="n">
        <v>0</v>
      </c>
      <c r="F62" s="8" t="n">
        <f aca="false">D62-E62</f>
        <v>50</v>
      </c>
      <c r="G62" s="6" t="s">
        <v>78</v>
      </c>
    </row>
    <row r="63" customFormat="false" ht="15" hidden="false" customHeight="false" outlineLevel="0" collapsed="false">
      <c r="A63" s="6" t="s">
        <v>67</v>
      </c>
      <c r="B63" s="6" t="s">
        <v>79</v>
      </c>
      <c r="C63" s="6" t="s">
        <v>28</v>
      </c>
      <c r="D63" s="7" t="n">
        <v>300</v>
      </c>
      <c r="E63" s="7" t="n">
        <v>0</v>
      </c>
      <c r="F63" s="8" t="n">
        <f aca="false">D63-E63</f>
        <v>300</v>
      </c>
      <c r="G63" s="6"/>
    </row>
    <row r="64" customFormat="false" ht="15" hidden="false" customHeight="false" outlineLevel="0" collapsed="false">
      <c r="A64" s="6" t="s">
        <v>67</v>
      </c>
      <c r="B64" s="6" t="s">
        <v>80</v>
      </c>
      <c r="C64" s="6" t="s">
        <v>28</v>
      </c>
      <c r="D64" s="7" t="n">
        <v>800</v>
      </c>
      <c r="E64" s="7" t="n">
        <v>0</v>
      </c>
      <c r="F64" s="8" t="n">
        <f aca="false">D64-E64</f>
        <v>800</v>
      </c>
      <c r="G64" s="6"/>
    </row>
    <row r="65" customFormat="false" ht="23.85" hidden="false" customHeight="false" outlineLevel="0" collapsed="false">
      <c r="A65" s="6" t="s">
        <v>67</v>
      </c>
      <c r="B65" s="6" t="s">
        <v>81</v>
      </c>
      <c r="C65" s="6" t="s">
        <v>10</v>
      </c>
      <c r="D65" s="7" t="n">
        <v>150</v>
      </c>
      <c r="E65" s="7" t="n">
        <v>0</v>
      </c>
      <c r="F65" s="8" t="n">
        <f aca="false">D65-E65</f>
        <v>150</v>
      </c>
      <c r="G65" s="6"/>
    </row>
    <row r="66" customFormat="false" ht="15" hidden="false" customHeight="false" outlineLevel="0" collapsed="false">
      <c r="A66" s="3" t="s">
        <v>82</v>
      </c>
      <c r="B66" s="3" t="s">
        <v>83</v>
      </c>
      <c r="C66" s="3" t="s">
        <v>28</v>
      </c>
      <c r="D66" s="4" t="n">
        <v>500</v>
      </c>
      <c r="E66" s="4" t="n">
        <v>0</v>
      </c>
      <c r="F66" s="5" t="n">
        <f aca="false">D66-E66</f>
        <v>500</v>
      </c>
      <c r="G66" s="3"/>
    </row>
    <row r="67" customFormat="false" ht="15" hidden="false" customHeight="false" outlineLevel="0" collapsed="false">
      <c r="A67" s="3" t="s">
        <v>82</v>
      </c>
      <c r="B67" s="3" t="s">
        <v>84</v>
      </c>
      <c r="C67" s="3" t="s">
        <v>10</v>
      </c>
      <c r="D67" s="4" t="n">
        <v>300</v>
      </c>
      <c r="E67" s="4" t="n">
        <v>0</v>
      </c>
      <c r="F67" s="5" t="n">
        <f aca="false">D67-E67</f>
        <v>300</v>
      </c>
      <c r="G67" s="3"/>
    </row>
    <row r="68" customFormat="false" ht="23.85" hidden="false" customHeight="false" outlineLevel="0" collapsed="false">
      <c r="A68" s="3" t="s">
        <v>82</v>
      </c>
      <c r="B68" s="3" t="s">
        <v>85</v>
      </c>
      <c r="C68" s="3" t="s">
        <v>28</v>
      </c>
      <c r="D68" s="4" t="n">
        <v>400</v>
      </c>
      <c r="E68" s="4" t="n">
        <v>0</v>
      </c>
      <c r="F68" s="5" t="n">
        <f aca="false">D68-E68</f>
        <v>400</v>
      </c>
      <c r="G68" s="3"/>
    </row>
    <row r="69" customFormat="false" ht="15" hidden="false" customHeight="false" outlineLevel="0" collapsed="false">
      <c r="A69" s="3" t="s">
        <v>82</v>
      </c>
      <c r="B69" s="3" t="s">
        <v>86</v>
      </c>
      <c r="C69" s="3" t="s">
        <v>10</v>
      </c>
      <c r="D69" s="4" t="n">
        <v>250</v>
      </c>
      <c r="E69" s="4" t="n">
        <v>0</v>
      </c>
      <c r="F69" s="5" t="n">
        <f aca="false">D69-E69</f>
        <v>250</v>
      </c>
      <c r="G69" s="3"/>
    </row>
    <row r="70" customFormat="false" ht="15" hidden="false" customHeight="false" outlineLevel="0" collapsed="false">
      <c r="A70" s="3" t="s">
        <v>82</v>
      </c>
      <c r="B70" s="3" t="s">
        <v>87</v>
      </c>
      <c r="C70" s="3" t="s">
        <v>28</v>
      </c>
      <c r="D70" s="4" t="n">
        <v>200</v>
      </c>
      <c r="E70" s="4" t="n">
        <v>0</v>
      </c>
      <c r="F70" s="5" t="n">
        <f aca="false">D70-E70</f>
        <v>200</v>
      </c>
      <c r="G70" s="3"/>
    </row>
    <row r="71" customFormat="false" ht="15" hidden="false" customHeight="false" outlineLevel="0" collapsed="false">
      <c r="A71" s="3" t="s">
        <v>82</v>
      </c>
      <c r="B71" s="3" t="s">
        <v>88</v>
      </c>
      <c r="C71" s="3" t="s">
        <v>28</v>
      </c>
      <c r="D71" s="4" t="n">
        <v>800</v>
      </c>
      <c r="E71" s="4" t="n">
        <v>0</v>
      </c>
      <c r="F71" s="5" t="n">
        <f aca="false">D71-E71</f>
        <v>800</v>
      </c>
      <c r="G71" s="3"/>
    </row>
    <row r="72" customFormat="false" ht="15" hidden="false" customHeight="false" outlineLevel="0" collapsed="false">
      <c r="A72" s="3" t="s">
        <v>82</v>
      </c>
      <c r="B72" s="3" t="s">
        <v>89</v>
      </c>
      <c r="C72" s="3" t="s">
        <v>10</v>
      </c>
      <c r="D72" s="4" t="n">
        <v>100</v>
      </c>
      <c r="E72" s="4" t="n">
        <v>0</v>
      </c>
      <c r="F72" s="5" t="n">
        <f aca="false">D72-E72</f>
        <v>100</v>
      </c>
      <c r="G72" s="3"/>
    </row>
    <row r="73" customFormat="false" ht="15" hidden="false" customHeight="false" outlineLevel="0" collapsed="false">
      <c r="A73" s="3" t="s">
        <v>82</v>
      </c>
      <c r="B73" s="3" t="s">
        <v>90</v>
      </c>
      <c r="C73" s="3" t="s">
        <v>10</v>
      </c>
      <c r="D73" s="4" t="n">
        <v>200</v>
      </c>
      <c r="E73" s="4" t="n">
        <v>0</v>
      </c>
      <c r="F73" s="5" t="n">
        <f aca="false">D73-E73</f>
        <v>200</v>
      </c>
      <c r="G73" s="3"/>
    </row>
    <row r="74" customFormat="false" ht="15" hidden="false" customHeight="false" outlineLevel="0" collapsed="false">
      <c r="A74" s="3" t="s">
        <v>82</v>
      </c>
      <c r="B74" s="3" t="s">
        <v>91</v>
      </c>
      <c r="C74" s="3" t="s">
        <v>10</v>
      </c>
      <c r="D74" s="4" t="n">
        <v>300</v>
      </c>
      <c r="E74" s="4" t="n">
        <v>0</v>
      </c>
      <c r="F74" s="5" t="n">
        <f aca="false">D74-E74</f>
        <v>300</v>
      </c>
      <c r="G74" s="3"/>
    </row>
    <row r="75" customFormat="false" ht="15" hidden="false" customHeight="false" outlineLevel="0" collapsed="false">
      <c r="A75" s="3" t="s">
        <v>82</v>
      </c>
      <c r="B75" s="3" t="s">
        <v>92</v>
      </c>
      <c r="C75" s="3" t="s">
        <v>28</v>
      </c>
      <c r="D75" s="4" t="n">
        <v>600</v>
      </c>
      <c r="E75" s="4" t="n">
        <v>0</v>
      </c>
      <c r="F75" s="5" t="n">
        <f aca="false">D75-E75</f>
        <v>600</v>
      </c>
      <c r="G75" s="3"/>
    </row>
    <row r="76" customFormat="false" ht="23.85" hidden="false" customHeight="false" outlineLevel="0" collapsed="false">
      <c r="A76" s="6" t="s">
        <v>93</v>
      </c>
      <c r="B76" s="6" t="s">
        <v>94</v>
      </c>
      <c r="C76" s="6" t="s">
        <v>28</v>
      </c>
      <c r="D76" s="7" t="n">
        <v>600</v>
      </c>
      <c r="E76" s="7" t="n">
        <v>0</v>
      </c>
      <c r="F76" s="8" t="n">
        <f aca="false">D76-E76</f>
        <v>600</v>
      </c>
      <c r="G76" s="6" t="s">
        <v>95</v>
      </c>
    </row>
    <row r="77" customFormat="false" ht="15" hidden="false" customHeight="false" outlineLevel="0" collapsed="false">
      <c r="A77" s="6" t="s">
        <v>93</v>
      </c>
      <c r="B77" s="6" t="s">
        <v>96</v>
      </c>
      <c r="C77" s="6" t="s">
        <v>10</v>
      </c>
      <c r="D77" s="7" t="n">
        <v>250</v>
      </c>
      <c r="E77" s="7" t="n">
        <v>0</v>
      </c>
      <c r="F77" s="8" t="n">
        <f aca="false">D77-E77</f>
        <v>250</v>
      </c>
      <c r="G77" s="6"/>
    </row>
    <row r="78" customFormat="false" ht="15" hidden="false" customHeight="false" outlineLevel="0" collapsed="false">
      <c r="A78" s="6" t="s">
        <v>93</v>
      </c>
      <c r="B78" s="6" t="s">
        <v>97</v>
      </c>
      <c r="C78" s="6" t="s">
        <v>10</v>
      </c>
      <c r="D78" s="7" t="n">
        <v>400</v>
      </c>
      <c r="E78" s="7" t="n">
        <v>0</v>
      </c>
      <c r="F78" s="8" t="n">
        <f aca="false">D78-E78</f>
        <v>400</v>
      </c>
      <c r="G78" s="6"/>
    </row>
    <row r="79" customFormat="false" ht="15" hidden="false" customHeight="false" outlineLevel="0" collapsed="false">
      <c r="A79" s="6" t="s">
        <v>93</v>
      </c>
      <c r="B79" s="6" t="s">
        <v>98</v>
      </c>
      <c r="C79" s="6" t="s">
        <v>10</v>
      </c>
      <c r="D79" s="7" t="n">
        <v>500</v>
      </c>
      <c r="E79" s="7" t="n">
        <v>0</v>
      </c>
      <c r="F79" s="8" t="n">
        <f aca="false">D79-E79</f>
        <v>500</v>
      </c>
      <c r="G79" s="6"/>
    </row>
    <row r="80" customFormat="false" ht="15" hidden="false" customHeight="false" outlineLevel="0" collapsed="false">
      <c r="A80" s="6" t="s">
        <v>93</v>
      </c>
      <c r="B80" s="6" t="s">
        <v>99</v>
      </c>
      <c r="C80" s="6" t="s">
        <v>10</v>
      </c>
      <c r="D80" s="7" t="n">
        <v>300</v>
      </c>
      <c r="E80" s="7" t="n">
        <v>0</v>
      </c>
      <c r="F80" s="8" t="n">
        <f aca="false">D80-E80</f>
        <v>300</v>
      </c>
      <c r="G80" s="6"/>
    </row>
    <row r="81" customFormat="false" ht="15" hidden="false" customHeight="false" outlineLevel="0" collapsed="false">
      <c r="A81" s="6" t="s">
        <v>93</v>
      </c>
      <c r="B81" s="6" t="s">
        <v>100</v>
      </c>
      <c r="C81" s="6" t="s">
        <v>10</v>
      </c>
      <c r="D81" s="7" t="n">
        <v>300</v>
      </c>
      <c r="E81" s="7" t="n">
        <v>0</v>
      </c>
      <c r="F81" s="8" t="n">
        <f aca="false">D81-E81</f>
        <v>300</v>
      </c>
      <c r="G81" s="6"/>
    </row>
    <row r="82" customFormat="false" ht="15" hidden="false" customHeight="false" outlineLevel="0" collapsed="false">
      <c r="A82" s="6" t="s">
        <v>93</v>
      </c>
      <c r="B82" s="6" t="s">
        <v>101</v>
      </c>
      <c r="C82" s="6" t="s">
        <v>28</v>
      </c>
      <c r="D82" s="7" t="n">
        <v>400</v>
      </c>
      <c r="E82" s="7" t="n">
        <v>0</v>
      </c>
      <c r="F82" s="8" t="n">
        <f aca="false">D82-E82</f>
        <v>400</v>
      </c>
      <c r="G82" s="6"/>
    </row>
    <row r="83" customFormat="false" ht="15" hidden="false" customHeight="false" outlineLevel="0" collapsed="false">
      <c r="A83" s="6" t="s">
        <v>93</v>
      </c>
      <c r="B83" s="6" t="s">
        <v>102</v>
      </c>
      <c r="C83" s="6" t="s">
        <v>10</v>
      </c>
      <c r="D83" s="7" t="n">
        <v>200</v>
      </c>
      <c r="E83" s="7" t="n">
        <v>0</v>
      </c>
      <c r="F83" s="8" t="n">
        <f aca="false">D83-E83</f>
        <v>200</v>
      </c>
      <c r="G83" s="6"/>
    </row>
    <row r="84" customFormat="false" ht="15" hidden="false" customHeight="false" outlineLevel="0" collapsed="false">
      <c r="A84" s="6" t="s">
        <v>93</v>
      </c>
      <c r="B84" s="6" t="s">
        <v>103</v>
      </c>
      <c r="C84" s="6" t="s">
        <v>28</v>
      </c>
      <c r="D84" s="7" t="n">
        <v>500</v>
      </c>
      <c r="E84" s="7" t="n">
        <v>0</v>
      </c>
      <c r="F84" s="8" t="n">
        <f aca="false">D84-E84</f>
        <v>500</v>
      </c>
      <c r="G84" s="6"/>
    </row>
    <row r="85" customFormat="false" ht="15" hidden="false" customHeight="false" outlineLevel="0" collapsed="false">
      <c r="A85" s="6" t="s">
        <v>93</v>
      </c>
      <c r="B85" s="6" t="s">
        <v>104</v>
      </c>
      <c r="C85" s="6" t="s">
        <v>10</v>
      </c>
      <c r="D85" s="7" t="n">
        <v>250</v>
      </c>
      <c r="E85" s="7" t="n">
        <v>0</v>
      </c>
      <c r="F85" s="8" t="n">
        <f aca="false">D85-E85</f>
        <v>250</v>
      </c>
      <c r="G85" s="6"/>
    </row>
    <row r="86" customFormat="false" ht="15" hidden="false" customHeight="false" outlineLevel="0" collapsed="false">
      <c r="A86" s="3" t="s">
        <v>105</v>
      </c>
      <c r="B86" s="3" t="s">
        <v>106</v>
      </c>
      <c r="C86" s="3" t="s">
        <v>10</v>
      </c>
      <c r="D86" s="4" t="n">
        <v>75</v>
      </c>
      <c r="E86" s="4" t="n">
        <v>50</v>
      </c>
      <c r="F86" s="5" t="n">
        <f aca="false">D86-E86</f>
        <v>25</v>
      </c>
      <c r="G86" s="3" t="s">
        <v>107</v>
      </c>
    </row>
    <row r="87" customFormat="false" ht="15" hidden="false" customHeight="false" outlineLevel="0" collapsed="false">
      <c r="A87" s="3" t="s">
        <v>105</v>
      </c>
      <c r="B87" s="3" t="s">
        <v>108</v>
      </c>
      <c r="C87" s="3" t="s">
        <v>10</v>
      </c>
      <c r="D87" s="4" t="n">
        <v>249</v>
      </c>
      <c r="E87" s="4" t="n">
        <v>199</v>
      </c>
      <c r="F87" s="5" t="n">
        <f aca="false">D87-E87</f>
        <v>50</v>
      </c>
      <c r="G87" s="3" t="s">
        <v>109</v>
      </c>
    </row>
    <row r="88" customFormat="false" ht="15" hidden="false" customHeight="false" outlineLevel="0" collapsed="false">
      <c r="A88" s="3" t="s">
        <v>105</v>
      </c>
      <c r="B88" s="3" t="s">
        <v>110</v>
      </c>
      <c r="C88" s="3" t="s">
        <v>10</v>
      </c>
      <c r="D88" s="4" t="n">
        <v>65</v>
      </c>
      <c r="E88" s="4" t="n">
        <v>45</v>
      </c>
      <c r="F88" s="5" t="n">
        <f aca="false">D88-E88</f>
        <v>20</v>
      </c>
      <c r="G88" s="3" t="s">
        <v>111</v>
      </c>
    </row>
    <row r="89" customFormat="false" ht="15" hidden="false" customHeight="false" outlineLevel="0" collapsed="false">
      <c r="A89" s="6" t="s">
        <v>112</v>
      </c>
      <c r="B89" s="6" t="s">
        <v>113</v>
      </c>
      <c r="C89" s="6" t="s">
        <v>28</v>
      </c>
      <c r="D89" s="7" t="n">
        <v>300</v>
      </c>
      <c r="E89" s="7" t="n">
        <v>0</v>
      </c>
      <c r="F89" s="8" t="n">
        <f aca="false">D89-E89</f>
        <v>300</v>
      </c>
      <c r="G89" s="6" t="s">
        <v>114</v>
      </c>
    </row>
    <row r="90" customFormat="false" ht="23.85" hidden="false" customHeight="false" outlineLevel="0" collapsed="false">
      <c r="A90" s="6" t="s">
        <v>112</v>
      </c>
      <c r="B90" s="6" t="s">
        <v>115</v>
      </c>
      <c r="C90" s="6" t="s">
        <v>28</v>
      </c>
      <c r="D90" s="7" t="n">
        <v>600</v>
      </c>
      <c r="E90" s="7" t="n">
        <v>0</v>
      </c>
      <c r="F90" s="8" t="n">
        <f aca="false">D90-E90</f>
        <v>600</v>
      </c>
      <c r="G90" s="6" t="s">
        <v>116</v>
      </c>
    </row>
    <row r="91" customFormat="false" ht="15" hidden="false" customHeight="false" outlineLevel="0" collapsed="false">
      <c r="A91" s="6" t="s">
        <v>112</v>
      </c>
      <c r="B91" s="6" t="s">
        <v>117</v>
      </c>
      <c r="C91" s="6" t="s">
        <v>28</v>
      </c>
      <c r="D91" s="7" t="n">
        <v>250</v>
      </c>
      <c r="E91" s="7" t="n">
        <v>0</v>
      </c>
      <c r="F91" s="8" t="n">
        <f aca="false">D91-E91</f>
        <v>250</v>
      </c>
      <c r="G91" s="6" t="s">
        <v>118</v>
      </c>
    </row>
    <row r="92" customFormat="false" ht="15" hidden="false" customHeight="false" outlineLevel="0" collapsed="false">
      <c r="A92" s="6" t="s">
        <v>112</v>
      </c>
      <c r="B92" s="6" t="s">
        <v>119</v>
      </c>
      <c r="C92" s="6" t="s">
        <v>28</v>
      </c>
      <c r="D92" s="7" t="n">
        <v>200</v>
      </c>
      <c r="E92" s="7" t="n">
        <v>0</v>
      </c>
      <c r="F92" s="8" t="n">
        <f aca="false">D92-E92</f>
        <v>200</v>
      </c>
      <c r="G92" s="6"/>
    </row>
    <row r="93" customFormat="false" ht="15" hidden="false" customHeight="false" outlineLevel="0" collapsed="false">
      <c r="A93" s="6" t="s">
        <v>112</v>
      </c>
      <c r="B93" s="6" t="s">
        <v>120</v>
      </c>
      <c r="C93" s="6" t="s">
        <v>28</v>
      </c>
      <c r="D93" s="7" t="n">
        <v>400</v>
      </c>
      <c r="E93" s="7" t="n">
        <v>0</v>
      </c>
      <c r="F93" s="8" t="n">
        <f aca="false">D93-E93</f>
        <v>400</v>
      </c>
      <c r="G93" s="6" t="s">
        <v>121</v>
      </c>
    </row>
    <row r="94" customFormat="false" ht="15" hidden="false" customHeight="false" outlineLevel="0" collapsed="false">
      <c r="A94" s="6" t="s">
        <v>112</v>
      </c>
      <c r="B94" s="6" t="s">
        <v>122</v>
      </c>
      <c r="C94" s="6" t="s">
        <v>28</v>
      </c>
      <c r="D94" s="7" t="n">
        <v>150</v>
      </c>
      <c r="E94" s="7" t="n">
        <v>0</v>
      </c>
      <c r="F94" s="8" t="n">
        <f aca="false">D94-E94</f>
        <v>150</v>
      </c>
      <c r="G94" s="6" t="s">
        <v>123</v>
      </c>
    </row>
    <row r="95" customFormat="false" ht="15" hidden="false" customHeight="false" outlineLevel="0" collapsed="false">
      <c r="A95" s="6" t="s">
        <v>112</v>
      </c>
      <c r="B95" s="6" t="s">
        <v>124</v>
      </c>
      <c r="C95" s="6" t="s">
        <v>28</v>
      </c>
      <c r="D95" s="7" t="n">
        <v>300</v>
      </c>
      <c r="E95" s="7" t="n">
        <v>0</v>
      </c>
      <c r="F95" s="8" t="n">
        <f aca="false">D95-E95</f>
        <v>300</v>
      </c>
      <c r="G95" s="6" t="s">
        <v>125</v>
      </c>
    </row>
    <row r="96" customFormat="false" ht="15" hidden="false" customHeight="false" outlineLevel="0" collapsed="false">
      <c r="A96" s="6" t="s">
        <v>112</v>
      </c>
      <c r="B96" s="6" t="s">
        <v>126</v>
      </c>
      <c r="C96" s="6" t="s">
        <v>28</v>
      </c>
      <c r="D96" s="7" t="n">
        <v>150</v>
      </c>
      <c r="E96" s="7" t="n">
        <v>0</v>
      </c>
      <c r="F96" s="8" t="n">
        <f aca="false">D96-E96</f>
        <v>150</v>
      </c>
      <c r="G96" s="6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4" min="4" style="0" width="34"/>
  </cols>
  <sheetData>
    <row r="1" customFormat="false" ht="26.85" hidden="false" customHeight="false" outlineLevel="0" collapsed="false">
      <c r="A1" s="9" t="s">
        <v>1</v>
      </c>
      <c r="B1" s="9" t="s">
        <v>127</v>
      </c>
      <c r="C1" s="9" t="s">
        <v>128</v>
      </c>
      <c r="D1" s="9" t="s">
        <v>129</v>
      </c>
    </row>
    <row r="2" customFormat="false" ht="15" hidden="false" customHeight="false" outlineLevel="0" collapsed="false">
      <c r="A2" s="10" t="s">
        <v>8</v>
      </c>
      <c r="B2" s="10" t="n">
        <f aca="false">COUNTIF('Price Sheet'!A:A,A2)</f>
        <v>8</v>
      </c>
      <c r="C2" s="11" t="n">
        <f aca="false">SUMIFS('Price Sheet'!D:D,'Price Sheet'!A:A,A2,'Price Sheet'!C:C,"Monthly")</f>
        <v>1700</v>
      </c>
      <c r="D2" s="11" t="n">
        <f aca="false">SUMIFS('Price Sheet'!D:D,'Price Sheet'!A:A,A2,'Price Sheet'!C:C,"One-Time Setup")</f>
        <v>0</v>
      </c>
    </row>
    <row r="3" customFormat="false" ht="15" hidden="false" customHeight="false" outlineLevel="0" collapsed="false">
      <c r="A3" s="10" t="s">
        <v>18</v>
      </c>
      <c r="B3" s="10" t="n">
        <f aca="false">COUNTIF('Price Sheet'!A:A,A3)</f>
        <v>11</v>
      </c>
      <c r="C3" s="11" t="n">
        <f aca="false">SUMIFS('Price Sheet'!D:D,'Price Sheet'!A:A,A3,'Price Sheet'!C:C,"Monthly")</f>
        <v>3450</v>
      </c>
      <c r="D3" s="11" t="n">
        <f aca="false">SUMIFS('Price Sheet'!D:D,'Price Sheet'!A:A,A3,'Price Sheet'!C:C,"One-Time Setup")</f>
        <v>500</v>
      </c>
    </row>
    <row r="4" customFormat="false" ht="15" hidden="false" customHeight="false" outlineLevel="0" collapsed="false">
      <c r="A4" s="10" t="s">
        <v>32</v>
      </c>
      <c r="B4" s="10" t="n">
        <f aca="false">COUNTIF('Price Sheet'!A:A,A4)</f>
        <v>10</v>
      </c>
      <c r="C4" s="11" t="n">
        <f aca="false">SUMIFS('Price Sheet'!D:D,'Price Sheet'!A:A,A4,'Price Sheet'!C:C,"Monthly")</f>
        <v>3200</v>
      </c>
      <c r="D4" s="11" t="n">
        <f aca="false">SUMIFS('Price Sheet'!D:D,'Price Sheet'!A:A,A4,'Price Sheet'!C:C,"One-Time Setup")</f>
        <v>350</v>
      </c>
    </row>
    <row r="5" customFormat="false" ht="15" hidden="false" customHeight="false" outlineLevel="0" collapsed="false">
      <c r="A5" s="10" t="s">
        <v>43</v>
      </c>
      <c r="B5" s="10" t="n">
        <f aca="false">COUNTIF('Price Sheet'!A:A,A5)</f>
        <v>9</v>
      </c>
      <c r="C5" s="11" t="n">
        <f aca="false">SUMIFS('Price Sheet'!D:D,'Price Sheet'!A:A,A5,'Price Sheet'!C:C,"Monthly")</f>
        <v>2450</v>
      </c>
      <c r="D5" s="11" t="n">
        <f aca="false">SUMIFS('Price Sheet'!D:D,'Price Sheet'!A:A,A5,'Price Sheet'!C:C,"One-Time Setup")</f>
        <v>500</v>
      </c>
    </row>
    <row r="6" customFormat="false" ht="15" hidden="false" customHeight="false" outlineLevel="0" collapsed="false">
      <c r="A6" s="10" t="s">
        <v>54</v>
      </c>
      <c r="B6" s="10" t="n">
        <f aca="false">COUNTIF('Price Sheet'!A:A,A6)</f>
        <v>12</v>
      </c>
      <c r="C6" s="11" t="n">
        <f aca="false">SUMIFS('Price Sheet'!D:D,'Price Sheet'!A:A,A6,'Price Sheet'!C:C,"Monthly")</f>
        <v>1900</v>
      </c>
      <c r="D6" s="11" t="n">
        <f aca="false">SUMIFS('Price Sheet'!D:D,'Price Sheet'!A:A,A6,'Price Sheet'!C:C,"One-Time Setup")</f>
        <v>700</v>
      </c>
    </row>
    <row r="7" customFormat="false" ht="15" hidden="false" customHeight="false" outlineLevel="0" collapsed="false">
      <c r="A7" s="10" t="s">
        <v>67</v>
      </c>
      <c r="B7" s="10" t="n">
        <f aca="false">COUNTIF('Price Sheet'!A:A,A7)</f>
        <v>12</v>
      </c>
      <c r="C7" s="11" t="n">
        <f aca="false">SUMIFS('Price Sheet'!D:D,'Price Sheet'!A:A,A7,'Price Sheet'!C:C,"Monthly")</f>
        <v>1800</v>
      </c>
      <c r="D7" s="11" t="n">
        <f aca="false">SUMIFS('Price Sheet'!D:D,'Price Sheet'!A:A,A7,'Price Sheet'!C:C,"One-Time Setup")</f>
        <v>5200</v>
      </c>
    </row>
    <row r="8" customFormat="false" ht="15" hidden="false" customHeight="false" outlineLevel="0" collapsed="false">
      <c r="A8" s="10" t="s">
        <v>82</v>
      </c>
      <c r="B8" s="10" t="n">
        <f aca="false">COUNTIF('Price Sheet'!A:A,A8)</f>
        <v>10</v>
      </c>
      <c r="C8" s="11" t="n">
        <f aca="false">SUMIFS('Price Sheet'!D:D,'Price Sheet'!A:A,A8,'Price Sheet'!C:C,"Monthly")</f>
        <v>1150</v>
      </c>
      <c r="D8" s="11" t="n">
        <f aca="false">SUMIFS('Price Sheet'!D:D,'Price Sheet'!A:A,A8,'Price Sheet'!C:C,"One-Time Setup")</f>
        <v>2500</v>
      </c>
    </row>
    <row r="9" customFormat="false" ht="15" hidden="false" customHeight="false" outlineLevel="0" collapsed="false">
      <c r="A9" s="10" t="s">
        <v>93</v>
      </c>
      <c r="B9" s="10" t="n">
        <f aca="false">COUNTIF('Price Sheet'!A:A,A9)</f>
        <v>10</v>
      </c>
      <c r="C9" s="11" t="n">
        <f aca="false">SUMIFS('Price Sheet'!D:D,'Price Sheet'!A:A,A9,'Price Sheet'!C:C,"Monthly")</f>
        <v>2200</v>
      </c>
      <c r="D9" s="11" t="n">
        <f aca="false">SUMIFS('Price Sheet'!D:D,'Price Sheet'!A:A,A9,'Price Sheet'!C:C,"One-Time Setup")</f>
        <v>1500</v>
      </c>
    </row>
    <row r="10" customFormat="false" ht="15" hidden="false" customHeight="false" outlineLevel="0" collapsed="false">
      <c r="A10" s="10" t="s">
        <v>105</v>
      </c>
      <c r="B10" s="10" t="n">
        <f aca="false">COUNTIF('Price Sheet'!A:A,A10)</f>
        <v>3</v>
      </c>
      <c r="C10" s="11" t="n">
        <f aca="false">SUMIFS('Price Sheet'!D:D,'Price Sheet'!A:A,A10,'Price Sheet'!C:C,"Monthly")</f>
        <v>389</v>
      </c>
      <c r="D10" s="11" t="n">
        <f aca="false">SUMIFS('Price Sheet'!D:D,'Price Sheet'!A:A,A10,'Price Sheet'!C:C,"One-Time Setup")</f>
        <v>0</v>
      </c>
    </row>
    <row r="11" customFormat="false" ht="15" hidden="false" customHeight="false" outlineLevel="0" collapsed="false">
      <c r="A11" s="10" t="s">
        <v>112</v>
      </c>
      <c r="B11" s="10" t="n">
        <f aca="false">COUNTIF('Price Sheet'!A:A,A11)</f>
        <v>8</v>
      </c>
      <c r="C11" s="11" t="n">
        <f aca="false">SUMIFS('Price Sheet'!D:D,'Price Sheet'!A:A,A11,'Price Sheet'!C:C,"Monthly")</f>
        <v>0</v>
      </c>
      <c r="D11" s="11" t="n">
        <f aca="false">SUMIFS('Price Sheet'!D:D,'Price Sheet'!A:A,A11,'Price Sheet'!C:C,"One-Time Setup")</f>
        <v>2350</v>
      </c>
    </row>
    <row r="12" customFormat="false" ht="15" hidden="false" customHeight="false" outlineLevel="0" collapsed="false">
      <c r="A12" s="12" t="s">
        <v>130</v>
      </c>
      <c r="B12" s="12" t="n">
        <f aca="false">SUM(B2:B11)</f>
        <v>93</v>
      </c>
      <c r="C12" s="13" t="n">
        <f aca="false">SUM(C2:C11)</f>
        <v>18239</v>
      </c>
      <c r="D12" s="13" t="n">
        <f aca="false">SUM(D2:D11)</f>
        <v>13600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4" t="s">
        <v>131</v>
      </c>
    </row>
    <row r="3" customFormat="false" ht="15" hidden="false" customHeight="false" outlineLevel="0" collapsed="false">
      <c r="A3" s="15" t="s">
        <v>132</v>
      </c>
    </row>
    <row r="4" customFormat="false" ht="15" hidden="false" customHeight="false" outlineLevel="0" collapsed="false">
      <c r="A4" s="15" t="s">
        <v>133</v>
      </c>
    </row>
    <row r="5" customFormat="false" ht="15" hidden="false" customHeight="false" outlineLevel="0" collapsed="false">
      <c r="A5" s="15" t="s">
        <v>134</v>
      </c>
    </row>
    <row r="6" customFormat="false" ht="15" hidden="false" customHeight="false" outlineLevel="0" collapsed="false">
      <c r="A6" s="15" t="s">
        <v>135</v>
      </c>
    </row>
    <row r="7" customFormat="false" ht="15" hidden="false" customHeight="false" outlineLevel="0" collapsed="false">
      <c r="A7" s="15" t="s">
        <v>136</v>
      </c>
    </row>
    <row r="8" customFormat="false" ht="15" hidden="false" customHeight="false" outlineLevel="0" collapsed="false">
      <c r="A8" s="15" t="s">
        <v>137</v>
      </c>
    </row>
    <row r="9" customFormat="false" ht="15" hidden="false" customHeight="false" outlineLevel="0" collapsed="false">
      <c r="A9" s="15" t="s">
        <v>138</v>
      </c>
    </row>
    <row r="10" customFormat="false" ht="15" hidden="false" customHeight="false" outlineLevel="0" collapsed="false">
      <c r="A10" s="15" t="s">
        <v>139</v>
      </c>
    </row>
    <row r="11" customFormat="false" ht="15" hidden="false" customHeight="false" outlineLevel="0" collapsed="false">
      <c r="A11" s="15" t="s">
        <v>140</v>
      </c>
    </row>
    <row r="12" customFormat="false" ht="23.85" hidden="false" customHeight="false" outlineLevel="0" collapsed="false">
      <c r="A12" s="15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2026-07-22T22:20:13Z</dcterms:created>
  <dc:creator>openpyxl</dc:creator>
  <dc:description/>
  <dc:language>en-US</dc:language>
  <cp:lastModifiedBy/>
  <dcterms:modified xsi:type="dcterms:W3CDTF">2026-07-22T22:20:13Z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